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50afc366c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ão Geral" sheetId="1" r:id="Rec66d62d69dc46b3"/>
    <x:sheet xmlns:r="http://schemas.openxmlformats.org/officeDocument/2006/relationships" name="Entidades" sheetId="2" r:id="R2a450937349a493a"/>
    <x:sheet xmlns:r="http://schemas.openxmlformats.org/officeDocument/2006/relationships" name="Dicionário" sheetId="3" r:id="R806c1d245996442e"/>
    <x:sheet xmlns:r="http://schemas.openxmlformats.org/officeDocument/2006/relationships" name="Anomalias" sheetId="4" r:id="R8a6e69e78b0548a4"/>
    <x:sheet xmlns:r="http://schemas.openxmlformats.org/officeDocument/2006/relationships" name="Manifesto" sheetId="5" r:id="R69ac6106cd79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780"/>
      <x:name val="Carlito"/>
    </x:font>
    <x:font>
      <x:b/>
      <x:sz val="11"/>
      <x:color rgb="FFFFFFFF"/>
      <x:name val="Carlito"/>
    </x:font>
    <x:font>
      <x:sz val="10"/>
      <x:color rgb="FF18323A"/>
      <x:name val="Carlito"/>
    </x:font>
    <x:font>
      <x:b/>
      <x:sz val="12"/>
      <x:color rgb="FF123B4A"/>
      <x:name val="Carlito"/>
    </x:font>
    <x:font>
      <x:sz val="11"/>
      <x:color rgb="FF1832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F3F7F8"/>
      </x:patternFill>
    </x:fill>
    <x:fill>
      <x:patternFill patternType="solid">
        <x:fgColor rgb="FF0F766E"/>
      </x:patternFill>
    </x:fill>
    <x:fill>
      <x:patternFill patternType="solid">
        <x:fgColor rgb="FFDDF4EE"/>
      </x:patternFill>
    </x:fill>
  </x:fills>
  <x:borders count="7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D6E1E5"/>
      </x:bottom>
    </x:border>
    <x:border>
      <x:top style="thin">
        <x:color rgb="FFD6E1E5"/>
      </x:top>
      <x:bottom style="thin">
        <x:color rgb="FFD6E1E5"/>
      </x:bottom>
    </x:border>
    <x:border>
      <x:top style="thin">
        <x:color rgb="FFD6E1E5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1" fontId="4" fillId="0" borderId="6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934F00"/>
      </x:font>
      <x:fill>
        <x:patternFill patternType="solid">
          <x:bgColor rgb="FFFEF0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d64dd4c794680" /><Relationship Type="http://schemas.openxmlformats.org/officeDocument/2006/relationships/theme" Target="/xl/theme/theme1.xml" Id="Rd9f868b53ef84f97" /><Relationship Type="http://schemas.openxmlformats.org/officeDocument/2006/relationships/sharedStrings" Target="/xl/sharedStrings.xml" Id="R012398d51a9a4a5f" /><Relationship Type="http://schemas.openxmlformats.org/officeDocument/2006/relationships/worksheet" Target="/xl/worksheets/sheet1.xml" Id="Rec66d62d69dc46b3" /><Relationship Type="http://schemas.openxmlformats.org/officeDocument/2006/relationships/worksheet" Target="/xl/worksheets/sheet2.xml" Id="R2a450937349a493a" /><Relationship Type="http://schemas.openxmlformats.org/officeDocument/2006/relationships/worksheet" Target="/xl/worksheets/sheet3.xml" Id="R806c1d245996442e" /><Relationship Type="http://schemas.openxmlformats.org/officeDocument/2006/relationships/worksheet" Target="/xl/worksheets/sheet4.xml" Id="R8a6e69e78b0548a4" /><Relationship Type="http://schemas.openxmlformats.org/officeDocument/2006/relationships/worksheet" Target="/xl/worksheets/sheet5.xml" Id="R69ac6106cd794f07" /></Relationships>
</file>

<file path=xl/tables/table1.xml><?xml version="1.0" encoding="utf-8"?>
<x:table xmlns:x="http://schemas.openxmlformats.org/spreadsheetml/2006/main" id="1" name="DataDictionaryTable" displayName="DataDictionaryTable" ref="A4:F68" headerRowCount="1" totalsRowCount="0" totalsRowShown="0">
  <x:tableColumns count="6">
    <x:tableColumn id="1" name="Entidade"/>
    <x:tableColumn id="2" name="Campo"/>
    <x:tableColumn id="3" name="Tipo BigQuery"/>
    <x:tableColumn id="4" name="Modo"/>
    <x:tableColumn id="5" name="Papel"/>
    <x:tableColumn id="6" name="Contrato detalh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ledAnomaliesTable" displayName="ControlledAnomaliesTable" ref="A4:H23" headerRowCount="1" totalsRowCount="0" totalsRowShown="0">
  <x:tableColumns count="8">
    <x:tableColumn id="1" name="ID"/>
    <x:tableColumn id="2" name="Entidade"/>
    <x:tableColumn id="3" name="Registro"/>
    <x:tableColumn id="4" name="Tipo"/>
    <x:tableColumn id="5" name="Severidade"/>
    <x:tableColumn id="6" name="Detecção esperada"/>
    <x:tableColumn id="7" name="Ação esperada"/>
    <x:tableColumn id="8" name="L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leManifestTable" displayName="FileManifestTable" ref="A4:F14" headerRowCount="1" totalsRowCount="0" totalsRowShown="0">
  <x:tableColumns count="6">
    <x:tableColumn id="1" name="Arquivo"/>
    <x:tableColumn id="2" name="Entidade"/>
    <x:tableColumn id="3" name="Lote"/>
    <x:tableColumn id="4" name="Data do lote"/>
    <x:tableColumn id="5" name="Linhas"/>
    <x:tableColumn id="6" name="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27f484a368d48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08ffe7524bb4e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6f5f96b1ff147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22" hidden="0" customWidth="1"/>
    <x:col min="5" max="5" width="22" hidden="0" customWidth="1"/>
    <x:col min="6" max="6" width="34" hidden="0" customWidth="1"/>
  </x:cols>
  <x:sheetData>
    <x:row r="1" ht="34" customHeight="1">
      <x:c r="A1" s="3" t="str">
        <x:v>Energy Analytics Platform — Etapa 2</x:v>
      </x:c>
      <x:c r="B1" s="3"/>
      <x:c r="C1" s="3"/>
      <x:c r="D1" s="3"/>
      <x:c r="E1" s="3"/>
      <x:c r="F1" s="3"/>
    </x:row>
    <x:row r="2" ht="32" customHeight="1">
      <x:c r="A2" s="7" t="str">
        <x:v>Catálogo dos contratos, lotes sintéticos e cenários de qualidade preparados para GCS e BigQuery Raw.</x:v>
      </x:c>
      <x:c r="B2" s="7"/>
      <x:c r="C2" s="7"/>
      <x:c r="D2" s="7"/>
      <x:c r="E2" s="7"/>
      <x:c r="F2" s="7"/>
    </x:row>
    <x:row r="4" ht="26" customHeight="1">
      <x:c r="A4" s="16" t="str">
        <x:v>Entidade</x:v>
      </x:c>
      <x:c r="B4" s="17" t="str">
        <x:v>Papel no domínio</x:v>
      </x:c>
      <x:c r="C4" s="17" t="str">
        <x:v>Linhas nos 2 lotes</x:v>
      </x:c>
      <x:c r="D4" s="17" t="str">
        <x:v>Chave lógica</x:v>
      </x:c>
      <x:c r="E4" s="17" t="str">
        <x:v>Partição Raw</x:v>
      </x:c>
      <x:c r="F4" s="18" t="str">
        <x:v>Contrato</x:v>
      </x:c>
    </x:row>
    <x:row r="5">
      <x:c r="A5" s="23" t="str">
        <x:v>customers</x:v>
      </x:c>
      <x:c r="B5" s="23" t="str">
        <x:v>Consumidor</x:v>
      </x:c>
      <x:c r="C5" s="26" t="n">
        <x:f>SUMIF('Manifesto'!$B$5:$B$14,A5,'Manifesto'!$E$5:$E$14)</x:f>
        <x:v>123</x:v>
      </x:c>
      <x:c r="D5" s="23" t="str">
        <x:v>customer_id</x:v>
      </x:c>
      <x:c r="E5" s="23" t="str">
        <x:v>DATE(extracted_at)</x:v>
      </x:c>
      <x:c r="F5" s="23" t="str">
        <x:v>contracts/sources/customers.yaml</x:v>
      </x:c>
    </x:row>
    <x:row r="6">
      <x:c r="A6" s="24" t="str">
        <x:v>plants</x:v>
      </x:c>
      <x:c r="B6" s="24" t="str">
        <x:v>Ativo gerador</x:v>
      </x:c>
      <x:c r="C6" s="27" t="n">
        <x:f>SUMIF('Manifesto'!$B$5:$B$14,A6,'Manifesto'!$E$5:$E$14)</x:f>
        <x:v>9</x:v>
      </x:c>
      <x:c r="D6" s="24" t="str">
        <x:v>plant_id</x:v>
      </x:c>
      <x:c r="E6" s="24" t="str">
        <x:v>DATE(extracted_at)</x:v>
      </x:c>
      <x:c r="F6" s="24" t="str">
        <x:v>contracts/sources/plants.yaml</x:v>
      </x:c>
    </x:row>
    <x:row r="7">
      <x:c r="A7" s="24" t="str">
        <x:v>contracts</x:v>
      </x:c>
      <x:c r="B7" s="24" t="str">
        <x:v>Vínculo comercial</x:v>
      </x:c>
      <x:c r="C7" s="27" t="n">
        <x:f>SUMIF('Manifesto'!$B$5:$B$14,A7,'Manifesto'!$E$5:$E$14)</x:f>
        <x:v>155</x:v>
      </x:c>
      <x:c r="D7" s="24" t="str">
        <x:v>contract_id</x:v>
      </x:c>
      <x:c r="E7" s="24" t="str">
        <x:v>DATE(extracted_at)</x:v>
      </x:c>
      <x:c r="F7" s="24" t="str">
        <x:v>contracts/sources/contracts.yaml</x:v>
      </x:c>
    </x:row>
    <x:row r="8">
      <x:c r="A8" s="24" t="str">
        <x:v>invoices</x:v>
      </x:c>
      <x:c r="B8" s="24" t="str">
        <x:v>Fato financeiro mensal</x:v>
      </x:c>
      <x:c r="C8" s="27" t="n">
        <x:f>SUMIF('Manifesto'!$B$5:$B$14,A8,'Manifesto'!$E$5:$E$14)</x:f>
        <x:v>900</x:v>
      </x:c>
      <x:c r="D8" s="24" t="str">
        <x:v>invoice_id</x:v>
      </x:c>
      <x:c r="E8" s="24" t="str">
        <x:v>reference_month</x:v>
      </x:c>
      <x:c r="F8" s="24" t="str">
        <x:v>contracts/sources/invoices.yaml</x:v>
      </x:c>
    </x:row>
    <x:row r="9">
      <x:c r="A9" s="25" t="str">
        <x:v>generation</x:v>
      </x:c>
      <x:c r="B9" s="25" t="str">
        <x:v>Fato operacional diário</x:v>
      </x:c>
      <x:c r="C9" s="28" t="n">
        <x:f>SUMIF('Manifesto'!$B$5:$B$14,A9,'Manifesto'!$E$5:$E$14)</x:f>
        <x:v>1473</x:v>
      </x:c>
      <x:c r="D9" s="25" t="str">
        <x:v>generation_id</x:v>
      </x:c>
      <x:c r="E9" s="25" t="str">
        <x:v>generation_date</x:v>
      </x:c>
      <x:c r="F9" s="25" t="str">
        <x:v>contracts/sources/generation.yaml</x:v>
      </x:c>
    </x:row>
    <x:row r="11">
      <x:c r="A11" s="30" t="str">
        <x:v>Resumo de entrega</x:v>
      </x:c>
      <x:c r="B11" s="30"/>
      <x:c r="D11" s="30" t="str">
        <x:v>Fluxo desta etapa</x:v>
      </x:c>
      <x:c r="E11" s="30"/>
      <x:c r="F11" s="30"/>
    </x:row>
    <x:row r="12">
      <x:c r="A12" s="23" t="str">
        <x:v>Arquivos CSV</x:v>
      </x:c>
      <x:c r="B12" s="26" t="n">
        <x:v>10</x:v>
      </x:c>
      <x:c r="D12" s="34" t="str">
        <x:v>Gerador determinístico → CSV por lote → GCS landing → BigQuery energy_raw → declarations Dataform.
A Raw preserva versões e erros; a Silver fará deduplicação, regras e quarentena.</x:v>
      </x:c>
      <x:c r="E12" s="34"/>
      <x:c r="F12" s="34"/>
    </x:row>
    <x:row r="13">
      <x:c r="A13" s="24" t="str">
        <x:v>Linhas Raw</x:v>
      </x:c>
      <x:c r="B13" s="27" t="n">
        <x:f>SUM(C5:C9)</x:f>
        <x:v>2660</x:v>
      </x:c>
      <x:c r="D13" s="34"/>
      <x:c r="E13" s="34"/>
      <x:c r="F13" s="34"/>
    </x:row>
    <x:row r="14">
      <x:c r="A14" s="24" t="str">
        <x:v>Cenários controlados</x:v>
      </x:c>
      <x:c r="B14" s="27" t="n">
        <x:v>19</x:v>
      </x:c>
      <x:c r="D14" s="34"/>
      <x:c r="E14" s="34"/>
      <x:c r="F14" s="34"/>
    </x:row>
    <x:row r="15">
      <x:c r="A15" s="25" t="str">
        <x:v>Seed</x:v>
      </x:c>
      <x:c r="B15" s="31" t="n">
        <x:v>20260903</x:v>
      </x:c>
      <x:c r="D15" s="34"/>
      <x:c r="E15" s="34"/>
      <x:c r="F15" s="34"/>
    </x:row>
  </x:sheetData>
  <x:mergeCells>
    <x:mergeCell ref="A1:F1"/>
    <x:mergeCell ref="A2:F2"/>
    <x:mergeCell ref="A11:B11"/>
    <x:mergeCell ref="D11:F11"/>
    <x:mergeCell ref="D12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42" hidden="0" customWidth="1"/>
    <x:col min="5" max="5" width="22" hidden="0" customWidth="1"/>
    <x:col min="6" max="6" width="22" hidden="0" customWidth="1"/>
  </x:cols>
  <x:sheetData>
    <x:row r="1" ht="34" customHeight="1">
      <x:c r="A1" s="3" t="str">
        <x:v>Entidades e ownership</x:v>
      </x:c>
      <x:c r="B1" s="3"/>
      <x:c r="C1" s="3"/>
      <x:c r="D1" s="3"/>
      <x:c r="E1" s="3"/>
      <x:c r="F1" s="3"/>
    </x:row>
    <x:row r="2" ht="32" customHeight="1">
      <x:c r="A2" s="7" t="str">
        <x:v>Visão compacta do grão, origem, chave e estratégia física de cada fonte.</x:v>
      </x:c>
      <x:c r="B2" s="7"/>
      <x:c r="C2" s="7"/>
      <x:c r="D2" s="7"/>
      <x:c r="E2" s="7"/>
      <x:c r="F2" s="7"/>
    </x:row>
    <x:row r="4" ht="26" customHeight="1">
      <x:c r="A4" s="16" t="str">
        <x:v>Entidade</x:v>
      </x:c>
      <x:c r="B4" s="17" t="str">
        <x:v>Sistema de origem</x:v>
      </x:c>
      <x:c r="C4" s="17" t="str">
        <x:v>Owner</x:v>
      </x:c>
      <x:c r="D4" s="17" t="str">
        <x:v>Grão Raw</x:v>
      </x:c>
      <x:c r="E4" s="17" t="str">
        <x:v>Chave lógica</x:v>
      </x:c>
      <x:c r="F4" s="18" t="str">
        <x:v>Partição</x:v>
      </x:c>
    </x:row>
    <x:row r="5">
      <x:c r="A5" s="35" t="str">
        <x:v>customers</x:v>
      </x:c>
      <x:c r="B5" s="35" t="str">
        <x:v>CRM</x:v>
      </x:c>
      <x:c r="C5" s="35" t="str">
        <x:v>Data Platform</x:v>
      </x:c>
      <x:c r="D5" s="35" t="str">
        <x:v>Versão por customer_id + source_updated_at</x:v>
      </x:c>
      <x:c r="E5" s="35" t="str">
        <x:v>customer_id</x:v>
      </x:c>
      <x:c r="F5" s="35" t="str">
        <x:v>DATE(extracted_at)</x:v>
      </x:c>
    </x:row>
    <x:row r="6">
      <x:c r="A6" s="36" t="str">
        <x:v>plants</x:v>
      </x:c>
      <x:c r="B6" s="36" t="str">
        <x:v>Asset Management</x:v>
      </x:c>
      <x:c r="C6" s="36" t="str">
        <x:v>Distributed Generation</x:v>
      </x:c>
      <x:c r="D6" s="36" t="str">
        <x:v>Versão por plant_id + source_updated_at</x:v>
      </x:c>
      <x:c r="E6" s="36" t="str">
        <x:v>plant_id</x:v>
      </x:c>
      <x:c r="F6" s="36" t="str">
        <x:v>DATE(extracted_at)</x:v>
      </x:c>
    </x:row>
    <x:row r="7">
      <x:c r="A7" s="36" t="str">
        <x:v>contracts</x:v>
      </x:c>
      <x:c r="B7" s="36" t="str">
        <x:v>Contract Management</x:v>
      </x:c>
      <x:c r="C7" s="36" t="str">
        <x:v>Customer Operations</x:v>
      </x:c>
      <x:c r="D7" s="36" t="str">
        <x:v>Versão por contract_id + source_updated_at</x:v>
      </x:c>
      <x:c r="E7" s="36" t="str">
        <x:v>contract_id</x:v>
      </x:c>
      <x:c r="F7" s="36" t="str">
        <x:v>DATE(extracted_at)</x:v>
      </x:c>
    </x:row>
    <x:row r="8">
      <x:c r="A8" s="36" t="str">
        <x:v>invoices</x:v>
      </x:c>
      <x:c r="B8" s="36" t="str">
        <x:v>Billing</x:v>
      </x:c>
      <x:c r="C8" s="36" t="str">
        <x:v>Billing</x:v>
      </x:c>
      <x:c r="D8" s="36" t="str">
        <x:v>Versão por invoice_id + source_updated_at</x:v>
      </x:c>
      <x:c r="E8" s="36" t="str">
        <x:v>invoice_id</x:v>
      </x:c>
      <x:c r="F8" s="36" t="str">
        <x:v>reference_month</x:v>
      </x:c>
    </x:row>
    <x:row r="9">
      <x:c r="A9" s="37" t="str">
        <x:v>generation</x:v>
      </x:c>
      <x:c r="B9" s="37" t="str">
        <x:v>Plant Telemetry</x:v>
      </x:c>
      <x:c r="C9" s="37" t="str">
        <x:v>Distributed Generation</x:v>
      </x:c>
      <x:c r="D9" s="37" t="str">
        <x:v>Versão por generation_id + source_updated_at</x:v>
      </x:c>
      <x:c r="E9" s="37" t="str">
        <x:v>generation_id</x:v>
      </x:c>
      <x:c r="F9" s="37" t="str">
        <x:v>generation_date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18" hidden="0" customWidth="1"/>
    <x:col min="4" max="4" width="14" hidden="0" customWidth="1"/>
    <x:col min="5" max="5" width="31" hidden="0" customWidth="1"/>
    <x:col min="6" max="6" width="39" hidden="0" customWidth="1"/>
  </x:cols>
  <x:sheetData>
    <x:row r="1" ht="34" customHeight="1">
      <x:c r="A1" s="3" t="str">
        <x:v>Dicionário físico BigQuery</x:v>
      </x:c>
      <x:c r="B1" s="3"/>
      <x:c r="C1" s="3"/>
      <x:c r="D1" s="3"/>
      <x:c r="E1" s="3"/>
      <x:c r="F1" s="3"/>
    </x:row>
    <x:row r="2" ht="32" customHeight="1">
      <x:c r="A2" s="7" t="str">
        <x:v>Campos exatamente na ordem dos CSVs e dos arquivos de schema JSON.</x:v>
      </x:c>
      <x:c r="B2" s="7"/>
      <x:c r="C2" s="7"/>
      <x:c r="D2" s="7"/>
      <x:c r="E2" s="7"/>
      <x:c r="F2" s="7"/>
    </x:row>
    <x:row r="4" ht="26" customHeight="1">
      <x:c r="A4" s="16" t="str">
        <x:v>Entidade</x:v>
      </x:c>
      <x:c r="B4" s="17" t="str">
        <x:v>Campo</x:v>
      </x:c>
      <x:c r="C4" s="17" t="str">
        <x:v>Tipo BigQuery</x:v>
      </x:c>
      <x:c r="D4" s="17" t="str">
        <x:v>Modo</x:v>
      </x:c>
      <x:c r="E4" s="17" t="str">
        <x:v>Papel</x:v>
      </x:c>
      <x:c r="F4" s="18" t="str">
        <x:v>Contrato detalhado</x:v>
      </x:c>
    </x:row>
    <x:row r="5">
      <x:c r="A5" s="23" t="str">
        <x:v>customers</x:v>
      </x:c>
      <x:c r="B5" s="23" t="str">
        <x:v>customer_id</x:v>
      </x:c>
      <x:c r="C5" s="23" t="str">
        <x:v>STRING</x:v>
      </x:c>
      <x:c r="D5" s="23" t="str">
        <x:v>REQUIRED</x:v>
      </x:c>
      <x:c r="E5" s="23" t="str">
        <x:v>Identificador/chave</x:v>
      </x:c>
      <x:c r="F5" s="23" t="str">
        <x:v>contracts/sources/customers.yaml</x:v>
      </x:c>
    </x:row>
    <x:row r="6">
      <x:c r="A6" s="24" t="str">
        <x:v>customers</x:v>
      </x:c>
      <x:c r="B6" s="24" t="str">
        <x:v>full_name</x:v>
      </x:c>
      <x:c r="C6" s="24" t="str">
        <x:v>STRING</x:v>
      </x:c>
      <x:c r="D6" s="24" t="str">
        <x:v>REQUIRED</x:v>
      </x:c>
      <x:c r="E6" s="24" t="str">
        <x:v>Atributo do contrato</x:v>
      </x:c>
      <x:c r="F6" s="24" t="str">
        <x:v>contracts/sources/customers.yaml</x:v>
      </x:c>
    </x:row>
    <x:row r="7">
      <x:c r="A7" s="24" t="str">
        <x:v>customers</x:v>
      </x:c>
      <x:c r="B7" s="24" t="str">
        <x:v>document_id</x:v>
      </x:c>
      <x:c r="C7" s="24" t="str">
        <x:v>STRING</x:v>
      </x:c>
      <x:c r="D7" s="24" t="str">
        <x:v>REQUIRED</x:v>
      </x:c>
      <x:c r="E7" s="24" t="str">
        <x:v>Identificador/chave</x:v>
      </x:c>
      <x:c r="F7" s="24" t="str">
        <x:v>contracts/sources/customers.yaml</x:v>
      </x:c>
    </x:row>
    <x:row r="8">
      <x:c r="A8" s="24" t="str">
        <x:v>customers</x:v>
      </x:c>
      <x:c r="B8" s="24" t="str">
        <x:v>email</x:v>
      </x:c>
      <x:c r="C8" s="24" t="str">
        <x:v>STRING</x:v>
      </x:c>
      <x:c r="D8" s="24" t="str">
        <x:v>NULLABLE</x:v>
      </x:c>
      <x:c r="E8" s="24" t="str">
        <x:v>Atributo do contrato</x:v>
      </x:c>
      <x:c r="F8" s="24" t="str">
        <x:v>contracts/sources/customers.yaml</x:v>
      </x:c>
    </x:row>
    <x:row r="9">
      <x:c r="A9" s="24" t="str">
        <x:v>customers</x:v>
      </x:c>
      <x:c r="B9" s="24" t="str">
        <x:v>phone</x:v>
      </x:c>
      <x:c r="C9" s="24" t="str">
        <x:v>STRING</x:v>
      </x:c>
      <x:c r="D9" s="24" t="str">
        <x:v>NULLABLE</x:v>
      </x:c>
      <x:c r="E9" s="24" t="str">
        <x:v>Atributo do contrato</x:v>
      </x:c>
      <x:c r="F9" s="24" t="str">
        <x:v>contracts/sources/customers.yaml</x:v>
      </x:c>
    </x:row>
    <x:row r="10">
      <x:c r="A10" s="24" t="str">
        <x:v>customers</x:v>
      </x:c>
      <x:c r="B10" s="24" t="str">
        <x:v>city</x:v>
      </x:c>
      <x:c r="C10" s="24" t="str">
        <x:v>STRING</x:v>
      </x:c>
      <x:c r="D10" s="24" t="str">
        <x:v>REQUIRED</x:v>
      </x:c>
      <x:c r="E10" s="24" t="str">
        <x:v>Atributo do contrato</x:v>
      </x:c>
      <x:c r="F10" s="24" t="str">
        <x:v>contracts/sources/customers.yaml</x:v>
      </x:c>
    </x:row>
    <x:row r="11">
      <x:c r="A11" s="24" t="str">
        <x:v>customers</x:v>
      </x:c>
      <x:c r="B11" s="24" t="str">
        <x:v>state_code</x:v>
      </x:c>
      <x:c r="C11" s="24" t="str">
        <x:v>STRING</x:v>
      </x:c>
      <x:c r="D11" s="24" t="str">
        <x:v>REQUIRED</x:v>
      </x:c>
      <x:c r="E11" s="24" t="str">
        <x:v>Atributo do contrato</x:v>
      </x:c>
      <x:c r="F11" s="24" t="str">
        <x:v>contracts/sources/customers.yaml</x:v>
      </x:c>
    </x:row>
    <x:row r="12">
      <x:c r="A12" s="24" t="str">
        <x:v>customers</x:v>
      </x:c>
      <x:c r="B12" s="24" t="str">
        <x:v>customer_segment</x:v>
      </x:c>
      <x:c r="C12" s="24" t="str">
        <x:v>STRING</x:v>
      </x:c>
      <x:c r="D12" s="24" t="str">
        <x:v>REQUIRED</x:v>
      </x:c>
      <x:c r="E12" s="24" t="str">
        <x:v>Atributo do contrato</x:v>
      </x:c>
      <x:c r="F12" s="24" t="str">
        <x:v>contracts/sources/customers.yaml</x:v>
      </x:c>
    </x:row>
    <x:row r="13">
      <x:c r="A13" s="24" t="str">
        <x:v>customers</x:v>
      </x:c>
      <x:c r="B13" s="24" t="str">
        <x:v>signup_date</x:v>
      </x:c>
      <x:c r="C13" s="24" t="str">
        <x:v>DATE</x:v>
      </x:c>
      <x:c r="D13" s="24" t="str">
        <x:v>REQUIRED</x:v>
      </x:c>
      <x:c r="E13" s="24" t="str">
        <x:v>Atributo do contrato</x:v>
      </x:c>
      <x:c r="F13" s="24" t="str">
        <x:v>contracts/sources/customers.yaml</x:v>
      </x:c>
    </x:row>
    <x:row r="14">
      <x:c r="A14" s="24" t="str">
        <x:v>customers</x:v>
      </x:c>
      <x:c r="B14" s="24" t="str">
        <x:v>status</x:v>
      </x:c>
      <x:c r="C14" s="24" t="str">
        <x:v>STRING</x:v>
      </x:c>
      <x:c r="D14" s="24" t="str">
        <x:v>REQUIRED</x:v>
      </x:c>
      <x:c r="E14" s="24" t="str">
        <x:v>Atributo do contrato</x:v>
      </x:c>
      <x:c r="F14" s="24" t="str">
        <x:v>contracts/sources/customers.yaml</x:v>
      </x:c>
    </x:row>
    <x:row r="15">
      <x:c r="A15" s="24" t="str">
        <x:v>customers</x:v>
      </x:c>
      <x:c r="B15" s="24" t="str">
        <x:v>source_updated_at</x:v>
      </x:c>
      <x:c r="C15" s="24" t="str">
        <x:v>TIMESTAMP</x:v>
      </x:c>
      <x:c r="D15" s="24" t="str">
        <x:v>REQUIRED</x:v>
      </x:c>
      <x:c r="E15" s="24" t="str">
        <x:v>Timestamp técnico ou de negócio</x:v>
      </x:c>
      <x:c r="F15" s="24" t="str">
        <x:v>contracts/sources/customers.yaml</x:v>
      </x:c>
    </x:row>
    <x:row r="16">
      <x:c r="A16" s="24" t="str">
        <x:v>customers</x:v>
      </x:c>
      <x:c r="B16" s="24" t="str">
        <x:v>extracted_at</x:v>
      </x:c>
      <x:c r="C16" s="24" t="str">
        <x:v>TIMESTAMP</x:v>
      </x:c>
      <x:c r="D16" s="24" t="str">
        <x:v>REQUIRED</x:v>
      </x:c>
      <x:c r="E16" s="24" t="str">
        <x:v>Timestamp técnico ou de negócio</x:v>
      </x:c>
      <x:c r="F16" s="24" t="str">
        <x:v>contracts/sources/customers.yaml</x:v>
      </x:c>
    </x:row>
    <x:row r="17">
      <x:c r="A17" s="24" t="str">
        <x:v>customers</x:v>
      </x:c>
      <x:c r="B17" s="24" t="str">
        <x:v>batch_id</x:v>
      </x:c>
      <x:c r="C17" s="24" t="str">
        <x:v>STRING</x:v>
      </x:c>
      <x:c r="D17" s="24" t="str">
        <x:v>REQUIRED</x:v>
      </x:c>
      <x:c r="E17" s="24" t="str">
        <x:v>Identificador/chave</x:v>
      </x:c>
      <x:c r="F17" s="24" t="str">
        <x:v>contracts/sources/customers.yaml</x:v>
      </x:c>
    </x:row>
    <x:row r="18">
      <x:c r="A18" s="24" t="str">
        <x:v>plants</x:v>
      </x:c>
      <x:c r="B18" s="24" t="str">
        <x:v>plant_id</x:v>
      </x:c>
      <x:c r="C18" s="24" t="str">
        <x:v>STRING</x:v>
      </x:c>
      <x:c r="D18" s="24" t="str">
        <x:v>REQUIRED</x:v>
      </x:c>
      <x:c r="E18" s="24" t="str">
        <x:v>Identificador/chave</x:v>
      </x:c>
      <x:c r="F18" s="24" t="str">
        <x:v>contracts/sources/plants.yaml</x:v>
      </x:c>
    </x:row>
    <x:row r="19">
      <x:c r="A19" s="24" t="str">
        <x:v>plants</x:v>
      </x:c>
      <x:c r="B19" s="24" t="str">
        <x:v>partner_id</x:v>
      </x:c>
      <x:c r="C19" s="24" t="str">
        <x:v>STRING</x:v>
      </x:c>
      <x:c r="D19" s="24" t="str">
        <x:v>REQUIRED</x:v>
      </x:c>
      <x:c r="E19" s="24" t="str">
        <x:v>Identificador/chave</x:v>
      </x:c>
      <x:c r="F19" s="24" t="str">
        <x:v>contracts/sources/plants.yaml</x:v>
      </x:c>
    </x:row>
    <x:row r="20">
      <x:c r="A20" s="24" t="str">
        <x:v>plants</x:v>
      </x:c>
      <x:c r="B20" s="24" t="str">
        <x:v>plant_name</x:v>
      </x:c>
      <x:c r="C20" s="24" t="str">
        <x:v>STRING</x:v>
      </x:c>
      <x:c r="D20" s="24" t="str">
        <x:v>REQUIRED</x:v>
      </x:c>
      <x:c r="E20" s="24" t="str">
        <x:v>Atributo do contrato</x:v>
      </x:c>
      <x:c r="F20" s="24" t="str">
        <x:v>contracts/sources/plants.yaml</x:v>
      </x:c>
    </x:row>
    <x:row r="21">
      <x:c r="A21" s="24" t="str">
        <x:v>plants</x:v>
      </x:c>
      <x:c r="B21" s="24" t="str">
        <x:v>energy_source</x:v>
      </x:c>
      <x:c r="C21" s="24" t="str">
        <x:v>STRING</x:v>
      </x:c>
      <x:c r="D21" s="24" t="str">
        <x:v>REQUIRED</x:v>
      </x:c>
      <x:c r="E21" s="24" t="str">
        <x:v>Atributo do contrato</x:v>
      </x:c>
      <x:c r="F21" s="24" t="str">
        <x:v>contracts/sources/plants.yaml</x:v>
      </x:c>
    </x:row>
    <x:row r="22">
      <x:c r="A22" s="24" t="str">
        <x:v>plants</x:v>
      </x:c>
      <x:c r="B22" s="24" t="str">
        <x:v>distributor_code</x:v>
      </x:c>
      <x:c r="C22" s="24" t="str">
        <x:v>STRING</x:v>
      </x:c>
      <x:c r="D22" s="24" t="str">
        <x:v>REQUIRED</x:v>
      </x:c>
      <x:c r="E22" s="24" t="str">
        <x:v>Atributo do contrato</x:v>
      </x:c>
      <x:c r="F22" s="24" t="str">
        <x:v>contracts/sources/plants.yaml</x:v>
      </x:c>
    </x:row>
    <x:row r="23">
      <x:c r="A23" s="24" t="str">
        <x:v>plants</x:v>
      </x:c>
      <x:c r="B23" s="24" t="str">
        <x:v>city</x:v>
      </x:c>
      <x:c r="C23" s="24" t="str">
        <x:v>STRING</x:v>
      </x:c>
      <x:c r="D23" s="24" t="str">
        <x:v>REQUIRED</x:v>
      </x:c>
      <x:c r="E23" s="24" t="str">
        <x:v>Atributo do contrato</x:v>
      </x:c>
      <x:c r="F23" s="24" t="str">
        <x:v>contracts/sources/plants.yaml</x:v>
      </x:c>
    </x:row>
    <x:row r="24">
      <x:c r="A24" s="24" t="str">
        <x:v>plants</x:v>
      </x:c>
      <x:c r="B24" s="24" t="str">
        <x:v>state_code</x:v>
      </x:c>
      <x:c r="C24" s="24" t="str">
        <x:v>STRING</x:v>
      </x:c>
      <x:c r="D24" s="24" t="str">
        <x:v>REQUIRED</x:v>
      </x:c>
      <x:c r="E24" s="24" t="str">
        <x:v>Atributo do contrato</x:v>
      </x:c>
      <x:c r="F24" s="24" t="str">
        <x:v>contracts/sources/plants.yaml</x:v>
      </x:c>
    </x:row>
    <x:row r="25">
      <x:c r="A25" s="24" t="str">
        <x:v>plants</x:v>
      </x:c>
      <x:c r="B25" s="24" t="str">
        <x:v>installed_capacity_kw</x:v>
      </x:c>
      <x:c r="C25" s="24" t="str">
        <x:v>NUMERIC</x:v>
      </x:c>
      <x:c r="D25" s="24" t="str">
        <x:v>REQUIRED</x:v>
      </x:c>
      <x:c r="E25" s="24" t="str">
        <x:v>Atributo do contrato</x:v>
      </x:c>
      <x:c r="F25" s="24" t="str">
        <x:v>contracts/sources/plants.yaml</x:v>
      </x:c>
    </x:row>
    <x:row r="26">
      <x:c r="A26" s="24" t="str">
        <x:v>plants</x:v>
      </x:c>
      <x:c r="B26" s="24" t="str">
        <x:v>commercial_operation_date</x:v>
      </x:c>
      <x:c r="C26" s="24" t="str">
        <x:v>DATE</x:v>
      </x:c>
      <x:c r="D26" s="24" t="str">
        <x:v>REQUIRED</x:v>
      </x:c>
      <x:c r="E26" s="24" t="str">
        <x:v>Atributo do contrato</x:v>
      </x:c>
      <x:c r="F26" s="24" t="str">
        <x:v>contracts/sources/plants.yaml</x:v>
      </x:c>
    </x:row>
    <x:row r="27">
      <x:c r="A27" s="24" t="str">
        <x:v>plants</x:v>
      </x:c>
      <x:c r="B27" s="24" t="str">
        <x:v>status</x:v>
      </x:c>
      <x:c r="C27" s="24" t="str">
        <x:v>STRING</x:v>
      </x:c>
      <x:c r="D27" s="24" t="str">
        <x:v>REQUIRED</x:v>
      </x:c>
      <x:c r="E27" s="24" t="str">
        <x:v>Atributo do contrato</x:v>
      </x:c>
      <x:c r="F27" s="24" t="str">
        <x:v>contracts/sources/plants.yaml</x:v>
      </x:c>
    </x:row>
    <x:row r="28">
      <x:c r="A28" s="24" t="str">
        <x:v>plants</x:v>
      </x:c>
      <x:c r="B28" s="24" t="str">
        <x:v>source_updated_at</x:v>
      </x:c>
      <x:c r="C28" s="24" t="str">
        <x:v>TIMESTAMP</x:v>
      </x:c>
      <x:c r="D28" s="24" t="str">
        <x:v>REQUIRED</x:v>
      </x:c>
      <x:c r="E28" s="24" t="str">
        <x:v>Timestamp técnico ou de negócio</x:v>
      </x:c>
      <x:c r="F28" s="24" t="str">
        <x:v>contracts/sources/plants.yaml</x:v>
      </x:c>
    </x:row>
    <x:row r="29">
      <x:c r="A29" s="24" t="str">
        <x:v>plants</x:v>
      </x:c>
      <x:c r="B29" s="24" t="str">
        <x:v>extracted_at</x:v>
      </x:c>
      <x:c r="C29" s="24" t="str">
        <x:v>TIMESTAMP</x:v>
      </x:c>
      <x:c r="D29" s="24" t="str">
        <x:v>REQUIRED</x:v>
      </x:c>
      <x:c r="E29" s="24" t="str">
        <x:v>Timestamp técnico ou de negócio</x:v>
      </x:c>
      <x:c r="F29" s="24" t="str">
        <x:v>contracts/sources/plants.yaml</x:v>
      </x:c>
    </x:row>
    <x:row r="30">
      <x:c r="A30" s="24" t="str">
        <x:v>plants</x:v>
      </x:c>
      <x:c r="B30" s="24" t="str">
        <x:v>batch_id</x:v>
      </x:c>
      <x:c r="C30" s="24" t="str">
        <x:v>STRING</x:v>
      </x:c>
      <x:c r="D30" s="24" t="str">
        <x:v>REQUIRED</x:v>
      </x:c>
      <x:c r="E30" s="24" t="str">
        <x:v>Identificador/chave</x:v>
      </x:c>
      <x:c r="F30" s="24" t="str">
        <x:v>contracts/sources/plants.yaml</x:v>
      </x:c>
    </x:row>
    <x:row r="31">
      <x:c r="A31" s="24" t="str">
        <x:v>contracts</x:v>
      </x:c>
      <x:c r="B31" s="24" t="str">
        <x:v>contract_id</x:v>
      </x:c>
      <x:c r="C31" s="24" t="str">
        <x:v>STRING</x:v>
      </x:c>
      <x:c r="D31" s="24" t="str">
        <x:v>REQUIRED</x:v>
      </x:c>
      <x:c r="E31" s="24" t="str">
        <x:v>Identificador/chave</x:v>
      </x:c>
      <x:c r="F31" s="24" t="str">
        <x:v>contracts/sources/contracts.yaml</x:v>
      </x:c>
    </x:row>
    <x:row r="32">
      <x:c r="A32" s="24" t="str">
        <x:v>contracts</x:v>
      </x:c>
      <x:c r="B32" s="24" t="str">
        <x:v>customer_id</x:v>
      </x:c>
      <x:c r="C32" s="24" t="str">
        <x:v>STRING</x:v>
      </x:c>
      <x:c r="D32" s="24" t="str">
        <x:v>REQUIRED</x:v>
      </x:c>
      <x:c r="E32" s="24" t="str">
        <x:v>Identificador/chave</x:v>
      </x:c>
      <x:c r="F32" s="24" t="str">
        <x:v>contracts/sources/contracts.yaml</x:v>
      </x:c>
    </x:row>
    <x:row r="33">
      <x:c r="A33" s="24" t="str">
        <x:v>contracts</x:v>
      </x:c>
      <x:c r="B33" s="24" t="str">
        <x:v>plant_id</x:v>
      </x:c>
      <x:c r="C33" s="24" t="str">
        <x:v>STRING</x:v>
      </x:c>
      <x:c r="D33" s="24" t="str">
        <x:v>REQUIRED</x:v>
      </x:c>
      <x:c r="E33" s="24" t="str">
        <x:v>Identificador/chave</x:v>
      </x:c>
      <x:c r="F33" s="24" t="str">
        <x:v>contracts/sources/contracts.yaml</x:v>
      </x:c>
    </x:row>
    <x:row r="34">
      <x:c r="A34" s="24" t="str">
        <x:v>contracts</x:v>
      </x:c>
      <x:c r="B34" s="24" t="str">
        <x:v>consumer_unit_id</x:v>
      </x:c>
      <x:c r="C34" s="24" t="str">
        <x:v>STRING</x:v>
      </x:c>
      <x:c r="D34" s="24" t="str">
        <x:v>REQUIRED</x:v>
      </x:c>
      <x:c r="E34" s="24" t="str">
        <x:v>Identificador/chave</x:v>
      </x:c>
      <x:c r="F34" s="24" t="str">
        <x:v>contracts/sources/contracts.yaml</x:v>
      </x:c>
    </x:row>
    <x:row r="35">
      <x:c r="A35" s="24" t="str">
        <x:v>contracts</x:v>
      </x:c>
      <x:c r="B35" s="24" t="str">
        <x:v>distributor_code</x:v>
      </x:c>
      <x:c r="C35" s="24" t="str">
        <x:v>STRING</x:v>
      </x:c>
      <x:c r="D35" s="24" t="str">
        <x:v>REQUIRED</x:v>
      </x:c>
      <x:c r="E35" s="24" t="str">
        <x:v>Atributo do contrato</x:v>
      </x:c>
      <x:c r="F35" s="24" t="str">
        <x:v>contracts/sources/contracts.yaml</x:v>
      </x:c>
    </x:row>
    <x:row r="36">
      <x:c r="A36" s="24" t="str">
        <x:v>contracts</x:v>
      </x:c>
      <x:c r="B36" s="24" t="str">
        <x:v>start_date</x:v>
      </x:c>
      <x:c r="C36" s="24" t="str">
        <x:v>DATE</x:v>
      </x:c>
      <x:c r="D36" s="24" t="str">
        <x:v>REQUIRED</x:v>
      </x:c>
      <x:c r="E36" s="24" t="str">
        <x:v>Atributo do contrato</x:v>
      </x:c>
      <x:c r="F36" s="24" t="str">
        <x:v>contracts/sources/contracts.yaml</x:v>
      </x:c>
    </x:row>
    <x:row r="37">
      <x:c r="A37" s="24" t="str">
        <x:v>contracts</x:v>
      </x:c>
      <x:c r="B37" s="24" t="str">
        <x:v>end_date</x:v>
      </x:c>
      <x:c r="C37" s="24" t="str">
        <x:v>DATE</x:v>
      </x:c>
      <x:c r="D37" s="24" t="str">
        <x:v>NULLABLE</x:v>
      </x:c>
      <x:c r="E37" s="24" t="str">
        <x:v>Atributo do contrato</x:v>
      </x:c>
      <x:c r="F37" s="24" t="str">
        <x:v>contracts/sources/contracts.yaml</x:v>
      </x:c>
    </x:row>
    <x:row r="38">
      <x:c r="A38" s="24" t="str">
        <x:v>contracts</x:v>
      </x:c>
      <x:c r="B38" s="24" t="str">
        <x:v>contracted_energy_kwh_month</x:v>
      </x:c>
      <x:c r="C38" s="24" t="str">
        <x:v>NUMERIC</x:v>
      </x:c>
      <x:c r="D38" s="24" t="str">
        <x:v>REQUIRED</x:v>
      </x:c>
      <x:c r="E38" s="24" t="str">
        <x:v>Atributo do contrato</x:v>
      </x:c>
      <x:c r="F38" s="24" t="str">
        <x:v>contracts/sources/contracts.yaml</x:v>
      </x:c>
    </x:row>
    <x:row r="39">
      <x:c r="A39" s="24" t="str">
        <x:v>contracts</x:v>
      </x:c>
      <x:c r="B39" s="24" t="str">
        <x:v>discount_rate</x:v>
      </x:c>
      <x:c r="C39" s="24" t="str">
        <x:v>NUMERIC</x:v>
      </x:c>
      <x:c r="D39" s="24" t="str">
        <x:v>REQUIRED</x:v>
      </x:c>
      <x:c r="E39" s="24" t="str">
        <x:v>Atributo do contrato</x:v>
      </x:c>
      <x:c r="F39" s="24" t="str">
        <x:v>contracts/sources/contracts.yaml</x:v>
      </x:c>
    </x:row>
    <x:row r="40">
      <x:c r="A40" s="24" t="str">
        <x:v>contracts</x:v>
      </x:c>
      <x:c r="B40" s="24" t="str">
        <x:v>status</x:v>
      </x:c>
      <x:c r="C40" s="24" t="str">
        <x:v>STRING</x:v>
      </x:c>
      <x:c r="D40" s="24" t="str">
        <x:v>REQUIRED</x:v>
      </x:c>
      <x:c r="E40" s="24" t="str">
        <x:v>Atributo do contrato</x:v>
      </x:c>
      <x:c r="F40" s="24" t="str">
        <x:v>contracts/sources/contracts.yaml</x:v>
      </x:c>
    </x:row>
    <x:row r="41">
      <x:c r="A41" s="24" t="str">
        <x:v>contracts</x:v>
      </x:c>
      <x:c r="B41" s="24" t="str">
        <x:v>source_updated_at</x:v>
      </x:c>
      <x:c r="C41" s="24" t="str">
        <x:v>TIMESTAMP</x:v>
      </x:c>
      <x:c r="D41" s="24" t="str">
        <x:v>REQUIRED</x:v>
      </x:c>
      <x:c r="E41" s="24" t="str">
        <x:v>Timestamp técnico ou de negócio</x:v>
      </x:c>
      <x:c r="F41" s="24" t="str">
        <x:v>contracts/sources/contracts.yaml</x:v>
      </x:c>
    </x:row>
    <x:row r="42">
      <x:c r="A42" s="24" t="str">
        <x:v>contracts</x:v>
      </x:c>
      <x:c r="B42" s="24" t="str">
        <x:v>extracted_at</x:v>
      </x:c>
      <x:c r="C42" s="24" t="str">
        <x:v>TIMESTAMP</x:v>
      </x:c>
      <x:c r="D42" s="24" t="str">
        <x:v>REQUIRED</x:v>
      </x:c>
      <x:c r="E42" s="24" t="str">
        <x:v>Timestamp técnico ou de negócio</x:v>
      </x:c>
      <x:c r="F42" s="24" t="str">
        <x:v>contracts/sources/contracts.yaml</x:v>
      </x:c>
    </x:row>
    <x:row r="43">
      <x:c r="A43" s="24" t="str">
        <x:v>contracts</x:v>
      </x:c>
      <x:c r="B43" s="24" t="str">
        <x:v>batch_id</x:v>
      </x:c>
      <x:c r="C43" s="24" t="str">
        <x:v>STRING</x:v>
      </x:c>
      <x:c r="D43" s="24" t="str">
        <x:v>REQUIRED</x:v>
      </x:c>
      <x:c r="E43" s="24" t="str">
        <x:v>Identificador/chave</x:v>
      </x:c>
      <x:c r="F43" s="24" t="str">
        <x:v>contracts/sources/contracts.yaml</x:v>
      </x:c>
    </x:row>
    <x:row r="44">
      <x:c r="A44" s="24" t="str">
        <x:v>invoices</x:v>
      </x:c>
      <x:c r="B44" s="24" t="str">
        <x:v>invoice_id</x:v>
      </x:c>
      <x:c r="C44" s="24" t="str">
        <x:v>STRING</x:v>
      </x:c>
      <x:c r="D44" s="24" t="str">
        <x:v>REQUIRED</x:v>
      </x:c>
      <x:c r="E44" s="24" t="str">
        <x:v>Identificador/chave</x:v>
      </x:c>
      <x:c r="F44" s="24" t="str">
        <x:v>contracts/sources/invoices.yaml</x:v>
      </x:c>
    </x:row>
    <x:row r="45">
      <x:c r="A45" s="24" t="str">
        <x:v>invoices</x:v>
      </x:c>
      <x:c r="B45" s="24" t="str">
        <x:v>contract_id</x:v>
      </x:c>
      <x:c r="C45" s="24" t="str">
        <x:v>STRING</x:v>
      </x:c>
      <x:c r="D45" s="24" t="str">
        <x:v>REQUIRED</x:v>
      </x:c>
      <x:c r="E45" s="24" t="str">
        <x:v>Identificador/chave</x:v>
      </x:c>
      <x:c r="F45" s="24" t="str">
        <x:v>contracts/sources/invoices.yaml</x:v>
      </x:c>
    </x:row>
    <x:row r="46">
      <x:c r="A46" s="24" t="str">
        <x:v>invoices</x:v>
      </x:c>
      <x:c r="B46" s="24" t="str">
        <x:v>reference_month</x:v>
      </x:c>
      <x:c r="C46" s="24" t="str">
        <x:v>DATE</x:v>
      </x:c>
      <x:c r="D46" s="24" t="str">
        <x:v>REQUIRED</x:v>
      </x:c>
      <x:c r="E46" s="24" t="str">
        <x:v>Atributo do contrato</x:v>
      </x:c>
      <x:c r="F46" s="24" t="str">
        <x:v>contracts/sources/invoices.yaml</x:v>
      </x:c>
    </x:row>
    <x:row r="47">
      <x:c r="A47" s="24" t="str">
        <x:v>invoices</x:v>
      </x:c>
      <x:c r="B47" s="24" t="str">
        <x:v>issue_date</x:v>
      </x:c>
      <x:c r="C47" s="24" t="str">
        <x:v>DATE</x:v>
      </x:c>
      <x:c r="D47" s="24" t="str">
        <x:v>REQUIRED</x:v>
      </x:c>
      <x:c r="E47" s="24" t="str">
        <x:v>Atributo do contrato</x:v>
      </x:c>
      <x:c r="F47" s="24" t="str">
        <x:v>contracts/sources/invoices.yaml</x:v>
      </x:c>
    </x:row>
    <x:row r="48">
      <x:c r="A48" s="24" t="str">
        <x:v>invoices</x:v>
      </x:c>
      <x:c r="B48" s="24" t="str">
        <x:v>due_date</x:v>
      </x:c>
      <x:c r="C48" s="24" t="str">
        <x:v>DATE</x:v>
      </x:c>
      <x:c r="D48" s="24" t="str">
        <x:v>REQUIRED</x:v>
      </x:c>
      <x:c r="E48" s="24" t="str">
        <x:v>Atributo do contrato</x:v>
      </x:c>
      <x:c r="F48" s="24" t="str">
        <x:v>contracts/sources/invoices.yaml</x:v>
      </x:c>
    </x:row>
    <x:row r="49">
      <x:c r="A49" s="24" t="str">
        <x:v>invoices</x:v>
      </x:c>
      <x:c r="B49" s="24" t="str">
        <x:v>energy_consumed_kwh</x:v>
      </x:c>
      <x:c r="C49" s="24" t="str">
        <x:v>NUMERIC</x:v>
      </x:c>
      <x:c r="D49" s="24" t="str">
        <x:v>REQUIRED</x:v>
      </x:c>
      <x:c r="E49" s="24" t="str">
        <x:v>Atributo do contrato</x:v>
      </x:c>
      <x:c r="F49" s="24" t="str">
        <x:v>contracts/sources/invoices.yaml</x:v>
      </x:c>
    </x:row>
    <x:row r="50">
      <x:c r="A50" s="24" t="str">
        <x:v>invoices</x:v>
      </x:c>
      <x:c r="B50" s="24" t="str">
        <x:v>energy_compensated_kwh</x:v>
      </x:c>
      <x:c r="C50" s="24" t="str">
        <x:v>NUMERIC</x:v>
      </x:c>
      <x:c r="D50" s="24" t="str">
        <x:v>REQUIRED</x:v>
      </x:c>
      <x:c r="E50" s="24" t="str">
        <x:v>Atributo do contrato</x:v>
      </x:c>
      <x:c r="F50" s="24" t="str">
        <x:v>contracts/sources/invoices.yaml</x:v>
      </x:c>
    </x:row>
    <x:row r="51">
      <x:c r="A51" s="24" t="str">
        <x:v>invoices</x:v>
      </x:c>
      <x:c r="B51" s="24" t="str">
        <x:v>gross_amount_brl</x:v>
      </x:c>
      <x:c r="C51" s="24" t="str">
        <x:v>NUMERIC</x:v>
      </x:c>
      <x:c r="D51" s="24" t="str">
        <x:v>REQUIRED</x:v>
      </x:c>
      <x:c r="E51" s="24" t="str">
        <x:v>Atributo do contrato</x:v>
      </x:c>
      <x:c r="F51" s="24" t="str">
        <x:v>contracts/sources/invoices.yaml</x:v>
      </x:c>
    </x:row>
    <x:row r="52">
      <x:c r="A52" s="24" t="str">
        <x:v>invoices</x:v>
      </x:c>
      <x:c r="B52" s="24" t="str">
        <x:v>discount_amount_brl</x:v>
      </x:c>
      <x:c r="C52" s="24" t="str">
        <x:v>NUMERIC</x:v>
      </x:c>
      <x:c r="D52" s="24" t="str">
        <x:v>REQUIRED</x:v>
      </x:c>
      <x:c r="E52" s="24" t="str">
        <x:v>Atributo do contrato</x:v>
      </x:c>
      <x:c r="F52" s="24" t="str">
        <x:v>contracts/sources/invoices.yaml</x:v>
      </x:c>
    </x:row>
    <x:row r="53">
      <x:c r="A53" s="24" t="str">
        <x:v>invoices</x:v>
      </x:c>
      <x:c r="B53" s="24" t="str">
        <x:v>net_amount_brl</x:v>
      </x:c>
      <x:c r="C53" s="24" t="str">
        <x:v>NUMERIC</x:v>
      </x:c>
      <x:c r="D53" s="24" t="str">
        <x:v>REQUIRED</x:v>
      </x:c>
      <x:c r="E53" s="24" t="str">
        <x:v>Atributo do contrato</x:v>
      </x:c>
      <x:c r="F53" s="24" t="str">
        <x:v>contracts/sources/invoices.yaml</x:v>
      </x:c>
    </x:row>
    <x:row r="54">
      <x:c r="A54" s="24" t="str">
        <x:v>invoices</x:v>
      </x:c>
      <x:c r="B54" s="24" t="str">
        <x:v>status</x:v>
      </x:c>
      <x:c r="C54" s="24" t="str">
        <x:v>STRING</x:v>
      </x:c>
      <x:c r="D54" s="24" t="str">
        <x:v>REQUIRED</x:v>
      </x:c>
      <x:c r="E54" s="24" t="str">
        <x:v>Atributo do contrato</x:v>
      </x:c>
      <x:c r="F54" s="24" t="str">
        <x:v>contracts/sources/invoices.yaml</x:v>
      </x:c>
    </x:row>
    <x:row r="55">
      <x:c r="A55" s="24" t="str">
        <x:v>invoices</x:v>
      </x:c>
      <x:c r="B55" s="24" t="str">
        <x:v>paid_at</x:v>
      </x:c>
      <x:c r="C55" s="24" t="str">
        <x:v>TIMESTAMP</x:v>
      </x:c>
      <x:c r="D55" s="24" t="str">
        <x:v>NULLABLE</x:v>
      </x:c>
      <x:c r="E55" s="24" t="str">
        <x:v>Timestamp técnico ou de negócio</x:v>
      </x:c>
      <x:c r="F55" s="24" t="str">
        <x:v>contracts/sources/invoices.yaml</x:v>
      </x:c>
    </x:row>
    <x:row r="56">
      <x:c r="A56" s="24" t="str">
        <x:v>invoices</x:v>
      </x:c>
      <x:c r="B56" s="24" t="str">
        <x:v>source_updated_at</x:v>
      </x:c>
      <x:c r="C56" s="24" t="str">
        <x:v>TIMESTAMP</x:v>
      </x:c>
      <x:c r="D56" s="24" t="str">
        <x:v>REQUIRED</x:v>
      </x:c>
      <x:c r="E56" s="24" t="str">
        <x:v>Timestamp técnico ou de negócio</x:v>
      </x:c>
      <x:c r="F56" s="24" t="str">
        <x:v>contracts/sources/invoices.yaml</x:v>
      </x:c>
    </x:row>
    <x:row r="57">
      <x:c r="A57" s="24" t="str">
        <x:v>invoices</x:v>
      </x:c>
      <x:c r="B57" s="24" t="str">
        <x:v>extracted_at</x:v>
      </x:c>
      <x:c r="C57" s="24" t="str">
        <x:v>TIMESTAMP</x:v>
      </x:c>
      <x:c r="D57" s="24" t="str">
        <x:v>REQUIRED</x:v>
      </x:c>
      <x:c r="E57" s="24" t="str">
        <x:v>Timestamp técnico ou de negócio</x:v>
      </x:c>
      <x:c r="F57" s="24" t="str">
        <x:v>contracts/sources/invoices.yaml</x:v>
      </x:c>
    </x:row>
    <x:row r="58">
      <x:c r="A58" s="24" t="str">
        <x:v>invoices</x:v>
      </x:c>
      <x:c r="B58" s="24" t="str">
        <x:v>batch_id</x:v>
      </x:c>
      <x:c r="C58" s="24" t="str">
        <x:v>STRING</x:v>
      </x:c>
      <x:c r="D58" s="24" t="str">
        <x:v>REQUIRED</x:v>
      </x:c>
      <x:c r="E58" s="24" t="str">
        <x:v>Identificador/chave</x:v>
      </x:c>
      <x:c r="F58" s="24" t="str">
        <x:v>contracts/sources/invoices.yaml</x:v>
      </x:c>
    </x:row>
    <x:row r="59">
      <x:c r="A59" s="24" t="str">
        <x:v>generation</x:v>
      </x:c>
      <x:c r="B59" s="24" t="str">
        <x:v>generation_id</x:v>
      </x:c>
      <x:c r="C59" s="24" t="str">
        <x:v>STRING</x:v>
      </x:c>
      <x:c r="D59" s="24" t="str">
        <x:v>REQUIRED</x:v>
      </x:c>
      <x:c r="E59" s="24" t="str">
        <x:v>Identificador/chave</x:v>
      </x:c>
      <x:c r="F59" s="24" t="str">
        <x:v>contracts/sources/generation.yaml</x:v>
      </x:c>
    </x:row>
    <x:row r="60">
      <x:c r="A60" s="24" t="str">
        <x:v>generation</x:v>
      </x:c>
      <x:c r="B60" s="24" t="str">
        <x:v>plant_id</x:v>
      </x:c>
      <x:c r="C60" s="24" t="str">
        <x:v>STRING</x:v>
      </x:c>
      <x:c r="D60" s="24" t="str">
        <x:v>REQUIRED</x:v>
      </x:c>
      <x:c r="E60" s="24" t="str">
        <x:v>Identificador/chave</x:v>
      </x:c>
      <x:c r="F60" s="24" t="str">
        <x:v>contracts/sources/generation.yaml</x:v>
      </x:c>
    </x:row>
    <x:row r="61">
      <x:c r="A61" s="24" t="str">
        <x:v>generation</x:v>
      </x:c>
      <x:c r="B61" s="24" t="str">
        <x:v>generation_date</x:v>
      </x:c>
      <x:c r="C61" s="24" t="str">
        <x:v>DATE</x:v>
      </x:c>
      <x:c r="D61" s="24" t="str">
        <x:v>REQUIRED</x:v>
      </x:c>
      <x:c r="E61" s="24" t="str">
        <x:v>Atributo do contrato</x:v>
      </x:c>
      <x:c r="F61" s="24" t="str">
        <x:v>contracts/sources/generation.yaml</x:v>
      </x:c>
    </x:row>
    <x:row r="62">
      <x:c r="A62" s="24" t="str">
        <x:v>generation</x:v>
      </x:c>
      <x:c r="B62" s="24" t="str">
        <x:v>generated_energy_kwh</x:v>
      </x:c>
      <x:c r="C62" s="24" t="str">
        <x:v>NUMERIC</x:v>
      </x:c>
      <x:c r="D62" s="24" t="str">
        <x:v>REQUIRED</x:v>
      </x:c>
      <x:c r="E62" s="24" t="str">
        <x:v>Atributo do contrato</x:v>
      </x:c>
      <x:c r="F62" s="24" t="str">
        <x:v>contracts/sources/generation.yaml</x:v>
      </x:c>
    </x:row>
    <x:row r="63">
      <x:c r="A63" s="24" t="str">
        <x:v>generation</x:v>
      </x:c>
      <x:c r="B63" s="24" t="str">
        <x:v>expected_energy_kwh</x:v>
      </x:c>
      <x:c r="C63" s="24" t="str">
        <x:v>NUMERIC</x:v>
      </x:c>
      <x:c r="D63" s="24" t="str">
        <x:v>REQUIRED</x:v>
      </x:c>
      <x:c r="E63" s="24" t="str">
        <x:v>Atributo do contrato</x:v>
      </x:c>
      <x:c r="F63" s="24" t="str">
        <x:v>contracts/sources/generation.yaml</x:v>
      </x:c>
    </x:row>
    <x:row r="64">
      <x:c r="A64" s="24" t="str">
        <x:v>generation</x:v>
      </x:c>
      <x:c r="B64" s="24" t="str">
        <x:v>availability_rate</x:v>
      </x:c>
      <x:c r="C64" s="24" t="str">
        <x:v>NUMERIC</x:v>
      </x:c>
      <x:c r="D64" s="24" t="str">
        <x:v>REQUIRED</x:v>
      </x:c>
      <x:c r="E64" s="24" t="str">
        <x:v>Atributo do contrato</x:v>
      </x:c>
      <x:c r="F64" s="24" t="str">
        <x:v>contracts/sources/generation.yaml</x:v>
      </x:c>
    </x:row>
    <x:row r="65">
      <x:c r="A65" s="24" t="str">
        <x:v>generation</x:v>
      </x:c>
      <x:c r="B65" s="24" t="str">
        <x:v>measurement_status</x:v>
      </x:c>
      <x:c r="C65" s="24" t="str">
        <x:v>STRING</x:v>
      </x:c>
      <x:c r="D65" s="24" t="str">
        <x:v>REQUIRED</x:v>
      </x:c>
      <x:c r="E65" s="24" t="str">
        <x:v>Atributo do contrato</x:v>
      </x:c>
      <x:c r="F65" s="24" t="str">
        <x:v>contracts/sources/generation.yaml</x:v>
      </x:c>
    </x:row>
    <x:row r="66">
      <x:c r="A66" s="24" t="str">
        <x:v>generation</x:v>
      </x:c>
      <x:c r="B66" s="24" t="str">
        <x:v>source_updated_at</x:v>
      </x:c>
      <x:c r="C66" s="24" t="str">
        <x:v>TIMESTAMP</x:v>
      </x:c>
      <x:c r="D66" s="24" t="str">
        <x:v>REQUIRED</x:v>
      </x:c>
      <x:c r="E66" s="24" t="str">
        <x:v>Timestamp técnico ou de negócio</x:v>
      </x:c>
      <x:c r="F66" s="24" t="str">
        <x:v>contracts/sources/generation.yaml</x:v>
      </x:c>
    </x:row>
    <x:row r="67">
      <x:c r="A67" s="24" t="str">
        <x:v>generation</x:v>
      </x:c>
      <x:c r="B67" s="24" t="str">
        <x:v>extracted_at</x:v>
      </x:c>
      <x:c r="C67" s="24" t="str">
        <x:v>TIMESTAMP</x:v>
      </x:c>
      <x:c r="D67" s="24" t="str">
        <x:v>REQUIRED</x:v>
      </x:c>
      <x:c r="E67" s="24" t="str">
        <x:v>Timestamp técnico ou de negócio</x:v>
      </x:c>
      <x:c r="F67" s="24" t="str">
        <x:v>contracts/sources/generation.yaml</x:v>
      </x:c>
    </x:row>
    <x:row r="68">
      <x:c r="A68" s="25" t="str">
        <x:v>generation</x:v>
      </x:c>
      <x:c r="B68" s="25" t="str">
        <x:v>batch_id</x:v>
      </x:c>
      <x:c r="C68" s="25" t="str">
        <x:v>STRING</x:v>
      </x:c>
      <x:c r="D68" s="25" t="str">
        <x:v>REQUIRED</x:v>
      </x:c>
      <x:c r="E68" s="25" t="str">
        <x:v>Identificador/chave</x:v>
      </x:c>
      <x:c r="F68" s="25" t="str">
        <x:v>contracts/sources/generation.yaml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27f484a368d48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32" hidden="0" customWidth="1"/>
    <x:col min="4" max="4" width="31" hidden="0" customWidth="1"/>
    <x:col min="5" max="5" width="14" hidden="0" customWidth="1"/>
    <x:col min="6" max="6" width="40" hidden="0" customWidth="1"/>
    <x:col min="7" max="7" width="36" hidden="0" customWidth="1"/>
    <x:col min="8" max="8" width="25" hidden="0" customWidth="1"/>
  </x:cols>
  <x:sheetData>
    <x:row r="1" ht="34" customHeight="1">
      <x:c r="A1" s="3" t="str">
        <x:v>Catálogo de anomalias controladas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Cada cenário tem localização, detecção esperada e ação planejada para a camada Silver.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6" t="str">
        <x:v>ID</x:v>
      </x:c>
      <x:c r="B4" s="17" t="str">
        <x:v>Entidade</x:v>
      </x:c>
      <x:c r="C4" s="17" t="str">
        <x:v>Registro</x:v>
      </x:c>
      <x:c r="D4" s="17" t="str">
        <x:v>Tipo</x:v>
      </x:c>
      <x:c r="E4" s="17" t="str">
        <x:v>Severidade</x:v>
      </x:c>
      <x:c r="F4" s="17" t="str">
        <x:v>Detecção esperada</x:v>
      </x:c>
      <x:c r="G4" s="17" t="str">
        <x:v>Ação esperada</x:v>
      </x:c>
      <x:c r="H4" s="18" t="str">
        <x:v>Lote</x:v>
      </x:c>
    </x:row>
    <x:row r="5">
      <x:c r="A5" s="35" t="str">
        <x:v>A01</x:v>
      </x:c>
      <x:c r="B5" s="35" t="str">
        <x:v>customers</x:v>
      </x:c>
      <x:c r="C5" s="35" t="str">
        <x:v>CUST-000007</x:v>
      </x:c>
      <x:c r="D5" s="35" t="str">
        <x:v>NULL_BUSINESS_FIELD</x:v>
      </x:c>
      <x:c r="E5" s="35" t="str">
        <x:v>WARN</x:v>
      </x:c>
      <x:c r="F5" s="35" t="str">
        <x:v>email IS NULL</x:v>
      </x:c>
      <x:c r="G5" s="35" t="str">
        <x:v>Preservar na Raw e sinalizar na Silver</x:v>
      </x:c>
      <x:c r="H5" s="35" t="str">
        <x:v>batch-20260801-001</x:v>
      </x:c>
    </x:row>
    <x:row r="6">
      <x:c r="A6" s="36" t="str">
        <x:v>A02</x:v>
      </x:c>
      <x:c r="B6" s="36" t="str">
        <x:v>customers</x:v>
      </x:c>
      <x:c r="C6" s="36" t="str">
        <x:v>CUST-000043</x:v>
      </x:c>
      <x:c r="D6" s="36" t="str">
        <x:v>DUPLICATE_NATURAL_KEY</x:v>
      </x:c>
      <x:c r="E6" s="36" t="str">
        <x:v>ERROR</x:v>
      </x:c>
      <x:c r="F6" s="36" t="str">
        <x:v>document_id duplicado com CUST-000042</x:v>
      </x:c>
      <x:c r="G6" s="36" t="str">
        <x:v>Quarentena da versão conflitante</x:v>
      </x:c>
      <x:c r="H6" s="36" t="str">
        <x:v>batch-20260801-001</x:v>
      </x:c>
    </x:row>
    <x:row r="7">
      <x:c r="A7" s="36" t="str">
        <x:v>A03</x:v>
      </x:c>
      <x:c r="B7" s="36" t="str">
        <x:v>customers</x:v>
      </x:c>
      <x:c r="C7" s="36" t="str">
        <x:v>CUST-000010</x:v>
      </x:c>
      <x:c r="D7" s="36" t="str">
        <x:v>EXACT_DUPLICATE_ACROSS_BATCH</x:v>
      </x:c>
      <x:c r="E7" s="36" t="str">
        <x:v>INFO</x:v>
      </x:c>
      <x:c r="F7" s="36" t="str">
        <x:v>mesma PK e source_updated_at</x:v>
      </x:c>
      <x:c r="G7" s="36" t="str">
        <x:v>Deduplicar por PK e metadados</x:v>
      </x:c>
      <x:c r="H7" s="36" t="str">
        <x:v>batch-20260901-001</x:v>
      </x:c>
    </x:row>
    <x:row r="8">
      <x:c r="A8" s="36" t="str">
        <x:v>A04</x:v>
      </x:c>
      <x:c r="B8" s="36" t="str">
        <x:v>customers</x:v>
      </x:c>
      <x:c r="C8" s="36" t="str">
        <x:v>CUST-000015</x:v>
      </x:c>
      <x:c r="D8" s="36" t="str">
        <x:v>STATUS_CHANGE</x:v>
      </x:c>
      <x:c r="E8" s="36" t="str">
        <x:v>INFO</x:v>
      </x:c>
      <x:c r="F8" s="36" t="str">
        <x:v>ACTIVE para CHURNED</x:v>
      </x:c>
      <x:c r="G8" s="36" t="str">
        <x:v>Manter versão mais recente</x:v>
      </x:c>
      <x:c r="H8" s="36" t="str">
        <x:v>batch-20260901-001</x:v>
      </x:c>
    </x:row>
    <x:row r="9">
      <x:c r="A9" s="36" t="str">
        <x:v>A05</x:v>
      </x:c>
      <x:c r="B9" s="36" t="str">
        <x:v>plants</x:v>
      </x:c>
      <x:c r="C9" s="36" t="str">
        <x:v>PLANT-008</x:v>
      </x:c>
      <x:c r="D9" s="36" t="str">
        <x:v>INVALID_NEGATIVE_CAPACITY</x:v>
      </x:c>
      <x:c r="E9" s="36" t="str">
        <x:v>ERROR</x:v>
      </x:c>
      <x:c r="F9" s="36" t="str">
        <x:v>installed_capacity_kw &lt;= 0</x:v>
      </x:c>
      <x:c r="G9" s="36" t="str">
        <x:v>Quarentena</x:v>
      </x:c>
      <x:c r="H9" s="36" t="str">
        <x:v>batch-20260801-001</x:v>
      </x:c>
    </x:row>
    <x:row r="10">
      <x:c r="A10" s="36" t="str">
        <x:v>A06</x:v>
      </x:c>
      <x:c r="B10" s="36" t="str">
        <x:v>plants</x:v>
      </x:c>
      <x:c r="C10" s="36" t="str">
        <x:v>PLANT-005</x:v>
      </x:c>
      <x:c r="D10" s="36" t="str">
        <x:v>STATUS_CHANGE</x:v>
      </x:c>
      <x:c r="E10" s="36" t="str">
        <x:v>INFO</x:v>
      </x:c>
      <x:c r="F10" s="36" t="str">
        <x:v>OPERATING para MAINTENANCE</x:v>
      </x:c>
      <x:c r="G10" s="36" t="str">
        <x:v>Manter versão mais recente</x:v>
      </x:c>
      <x:c r="H10" s="36" t="str">
        <x:v>batch-20260901-001</x:v>
      </x:c>
    </x:row>
    <x:row r="11">
      <x:c r="A11" s="36" t="str">
        <x:v>A07</x:v>
      </x:c>
      <x:c r="B11" s="36" t="str">
        <x:v>contracts</x:v>
      </x:c>
      <x:c r="C11" s="36" t="str">
        <x:v>CONTRACT-ERR-ORPHAN</x:v>
      </x:c>
      <x:c r="D11" s="36" t="str">
        <x:v>ORPHAN_FOREIGN_KEY</x:v>
      </x:c>
      <x:c r="E11" s="36" t="str">
        <x:v>ERROR</x:v>
      </x:c>
      <x:c r="F11" s="36" t="str">
        <x:v>customer_id inexistente</x:v>
      </x:c>
      <x:c r="G11" s="36" t="str">
        <x:v>Quarentena</x:v>
      </x:c>
      <x:c r="H11" s="36" t="str">
        <x:v>batch-20260901-001</x:v>
      </x:c>
    </x:row>
    <x:row r="12">
      <x:c r="A12" s="36" t="str">
        <x:v>A08</x:v>
      </x:c>
      <x:c r="B12" s="36" t="str">
        <x:v>contracts</x:v>
      </x:c>
      <x:c r="C12" s="36" t="str">
        <x:v>CONTRACT-ERR-DISCOUNT</x:v>
      </x:c>
      <x:c r="D12" s="36" t="str">
        <x:v>OUT_OF_RANGE</x:v>
      </x:c>
      <x:c r="E12" s="36" t="str">
        <x:v>ERROR</x:v>
      </x:c>
      <x:c r="F12" s="36" t="str">
        <x:v>discount_rate fora de 0 a 1</x:v>
      </x:c>
      <x:c r="G12" s="36" t="str">
        <x:v>Quarentena</x:v>
      </x:c>
      <x:c r="H12" s="36" t="str">
        <x:v>batch-20260901-001</x:v>
      </x:c>
    </x:row>
    <x:row r="13">
      <x:c r="A13" s="36" t="str">
        <x:v>A09</x:v>
      </x:c>
      <x:c r="B13" s="36" t="str">
        <x:v>contracts</x:v>
      </x:c>
      <x:c r="C13" s="36" t="str">
        <x:v>CONTRACT-ERR-DATES</x:v>
      </x:c>
      <x:c r="D13" s="36" t="str">
        <x:v>INVALID_DATE_ORDER</x:v>
      </x:c>
      <x:c r="E13" s="36" t="str">
        <x:v>ERROR</x:v>
      </x:c>
      <x:c r="F13" s="36" t="str">
        <x:v>end_date anterior a start_date</x:v>
      </x:c>
      <x:c r="G13" s="36" t="str">
        <x:v>Quarentena</x:v>
      </x:c>
      <x:c r="H13" s="36" t="str">
        <x:v>batch-20260901-001</x:v>
      </x:c>
    </x:row>
    <x:row r="14">
      <x:c r="A14" s="36" t="str">
        <x:v>A10</x:v>
      </x:c>
      <x:c r="B14" s="36" t="str">
        <x:v>contracts</x:v>
      </x:c>
      <x:c r="C14" s="36" t="str">
        <x:v>CONTRACT-000010</x:v>
      </x:c>
      <x:c r="D14" s="36" t="str">
        <x:v>STATUS_CHANGE</x:v>
      </x:c>
      <x:c r="E14" s="36" t="str">
        <x:v>INFO</x:v>
      </x:c>
      <x:c r="F14" s="36" t="str">
        <x:v>ACTIVE para CANCELLED</x:v>
      </x:c>
      <x:c r="G14" s="36" t="str">
        <x:v>Manter versão mais recente</x:v>
      </x:c>
      <x:c r="H14" s="36" t="str">
        <x:v>batch-20260901-001</x:v>
      </x:c>
    </x:row>
    <x:row r="15">
      <x:c r="A15" s="36" t="str">
        <x:v>A11</x:v>
      </x:c>
      <x:c r="B15" s="36" t="str">
        <x:v>invoices</x:v>
      </x:c>
      <x:c r="C15" s="36" t="str">
        <x:v>INV-000005</x:v>
      </x:c>
      <x:c r="D15" s="36" t="str">
        <x:v>LATE_CORRECTION</x:v>
      </x:c>
      <x:c r="E15" s="36" t="str">
        <x:v>INFO</x:v>
      </x:c>
      <x:c r="F15" s="36" t="str">
        <x:v>PK repetida com source_updated_at mais novo</x:v>
      </x:c>
      <x:c r="G15" s="36" t="str">
        <x:v>Deduplicar por source_updated_at DESC</x:v>
      </x:c>
      <x:c r="H15" s="36" t="str">
        <x:v>batch-20260901-001</x:v>
      </x:c>
    </x:row>
    <x:row r="16">
      <x:c r="A16" s="36" t="str">
        <x:v>A12</x:v>
      </x:c>
      <x:c r="B16" s="36" t="str">
        <x:v>invoices</x:v>
      </x:c>
      <x:c r="C16" s="36" t="str">
        <x:v>INV-LATE-001</x:v>
      </x:c>
      <x:c r="D16" s="36" t="str">
        <x:v>LATE_ARRIVING</x:v>
      </x:c>
      <x:c r="E16" s="36" t="str">
        <x:v>INFO</x:v>
      </x:c>
      <x:c r="F16" s="36" t="str">
        <x:v>reference_month anterior ao batch</x:v>
      </x:c>
      <x:c r="G16" s="36" t="str">
        <x:v>Reprocessar partição afetada</x:v>
      </x:c>
      <x:c r="H16" s="36" t="str">
        <x:v>batch-20260901-001</x:v>
      </x:c>
    </x:row>
    <x:row r="17">
      <x:c r="A17" s="36" t="str">
        <x:v>A13</x:v>
      </x:c>
      <x:c r="B17" s="36" t="str">
        <x:v>invoices</x:v>
      </x:c>
      <x:c r="C17" s="36" t="str">
        <x:v>INV-ERR-AMOUNT</x:v>
      </x:c>
      <x:c r="D17" s="36" t="str">
        <x:v>ARITHMETIC_MISMATCH</x:v>
      </x:c>
      <x:c r="E17" s="36" t="str">
        <x:v>ERROR</x:v>
      </x:c>
      <x:c r="F17" s="36" t="str">
        <x:v>net != gross - discount</x:v>
      </x:c>
      <x:c r="G17" s="36" t="str">
        <x:v>Quarentena</x:v>
      </x:c>
      <x:c r="H17" s="36" t="str">
        <x:v>batch-20260901-001</x:v>
      </x:c>
    </x:row>
    <x:row r="18">
      <x:c r="A18" s="36" t="str">
        <x:v>A14</x:v>
      </x:c>
      <x:c r="B18" s="36" t="str">
        <x:v>invoices</x:v>
      </x:c>
      <x:c r="C18" s="36" t="str">
        <x:v>INV-ERR-PAID</x:v>
      </x:c>
      <x:c r="D18" s="36" t="str">
        <x:v>CONDITIONAL_NULL</x:v>
      </x:c>
      <x:c r="E18" s="36" t="str">
        <x:v>ERROR</x:v>
      </x:c>
      <x:c r="F18" s="36" t="str">
        <x:v>status PAID sem paid_at</x:v>
      </x:c>
      <x:c r="G18" s="36" t="str">
        <x:v>Quarentena</x:v>
      </x:c>
      <x:c r="H18" s="36" t="str">
        <x:v>batch-20260901-001</x:v>
      </x:c>
    </x:row>
    <x:row r="19">
      <x:c r="A19" s="36" t="str">
        <x:v>A15</x:v>
      </x:c>
      <x:c r="B19" s="36" t="str">
        <x:v>invoices</x:v>
      </x:c>
      <x:c r="C19" s="36" t="str">
        <x:v>INV-000751</x:v>
      </x:c>
      <x:c r="D19" s="36" t="str">
        <x:v>EXACT_DUPLICATE_SAME_BATCH</x:v>
      </x:c>
      <x:c r="E19" s="36" t="str">
        <x:v>INFO</x:v>
      </x:c>
      <x:c r="F19" s="36" t="str">
        <x:v>linha identica repetida</x:v>
      </x:c>
      <x:c r="G19" s="36" t="str">
        <x:v>Deduplicar</x:v>
      </x:c>
      <x:c r="H19" s="36" t="str">
        <x:v>batch-20260901-001</x:v>
      </x:c>
    </x:row>
    <x:row r="20">
      <x:c r="A20" s="36" t="str">
        <x:v>A16</x:v>
      </x:c>
      <x:c r="B20" s="36" t="str">
        <x:v>generation</x:v>
      </x:c>
      <x:c r="C20" s="36" t="str">
        <x:v>GEN-PLANT-003-2026-08-12</x:v>
      </x:c>
      <x:c r="D20" s="36" t="str">
        <x:v>NEGATIVE_MEASUREMENT</x:v>
      </x:c>
      <x:c r="E20" s="36" t="str">
        <x:v>ERROR</x:v>
      </x:c>
      <x:c r="F20" s="36" t="str">
        <x:v>generated_energy_kwh &lt; 0</x:v>
      </x:c>
      <x:c r="G20" s="36" t="str">
        <x:v>Quarentena</x:v>
      </x:c>
      <x:c r="H20" s="36" t="str">
        <x:v>batch-20260901-001</x:v>
      </x:c>
    </x:row>
    <x:row r="21">
      <x:c r="A21" s="36" t="str">
        <x:v>A17</x:v>
      </x:c>
      <x:c r="B21" s="36" t="str">
        <x:v>generation</x:v>
      </x:c>
      <x:c r="C21" s="36" t="str">
        <x:v>GEN-PLANT-004-2026-08-17</x:v>
      </x:c>
      <x:c r="D21" s="36" t="str">
        <x:v>OUT_OF_RANGE</x:v>
      </x:c>
      <x:c r="E21" s="36" t="str">
        <x:v>ERROR</x:v>
      </x:c>
      <x:c r="F21" s="36" t="str">
        <x:v>availability_rate &gt; 1</x:v>
      </x:c>
      <x:c r="G21" s="36" t="str">
        <x:v>Quarentena</x:v>
      </x:c>
      <x:c r="H21" s="36" t="str">
        <x:v>batch-20260901-001</x:v>
      </x:c>
    </x:row>
    <x:row r="22">
      <x:c r="A22" s="36" t="str">
        <x:v>A18</x:v>
      </x:c>
      <x:c r="B22" s="36" t="str">
        <x:v>generation</x:v>
      </x:c>
      <x:c r="C22" s="36" t="str">
        <x:v>GEN-PLANT-002-2026-07-20</x:v>
      </x:c>
      <x:c r="D22" s="36" t="str">
        <x:v>LATE_ARRIVING</x:v>
      </x:c>
      <x:c r="E22" s="36" t="str">
        <x:v>INFO</x:v>
      </x:c>
      <x:c r="F22" s="36" t="str">
        <x:v>generation_date 42 dias antes da extracao</x:v>
      </x:c>
      <x:c r="G22" s="36" t="str">
        <x:v>Reprocessar partição afetada</x:v>
      </x:c>
      <x:c r="H22" s="36" t="str">
        <x:v>batch-20260901-001</x:v>
      </x:c>
    </x:row>
    <x:row r="23">
      <x:c r="A23" s="37" t="str">
        <x:v>A19</x:v>
      </x:c>
      <x:c r="B23" s="37" t="str">
        <x:v>generation</x:v>
      </x:c>
      <x:c r="C23" s="37" t="str">
        <x:v>GEN-PLANT-001-2026-07-15</x:v>
      </x:c>
      <x:c r="D23" s="37" t="str">
        <x:v>LATE_CORRECTION</x:v>
      </x:c>
      <x:c r="E23" s="37" t="str">
        <x:v>INFO</x:v>
      </x:c>
      <x:c r="F23" s="37" t="str">
        <x:v>PK repetida com source_updated_at mais novo</x:v>
      </x:c>
      <x:c r="G23" s="37" t="str">
        <x:v>Deduplicar por source_updated_at DESC</x:v>
      </x:c>
      <x:c r="H23" s="37" t="str">
        <x:v>batch-20260901-001</x:v>
      </x:c>
    </x:row>
  </x:sheetData>
  <x:mergeCells>
    <x:mergeCell ref="A1:H1"/>
    <x:mergeCell ref="A2:H2"/>
  </x:mergeCells>
  <x:conditionalFormatting sqref="E5:E23">
    <x:cfRule type="containsText" dxfId="0" priority="1" operator="containsText" text="ERROR"/>
    <x:cfRule type="containsText" dxfId="1" priority="2" operator="containsText" text="WARN"/>
    <x:cfRule type="containsText" dxfId="2" priority="3" operator="containsText" text="INFO"/>
  </x:conditionalFormatting>
  <x:pageMargins left="0.7" right="0.7" top="0.75" bottom="0.75" header="0.3" footer="0.3"/>
  <x:tableParts count="1">
    <x:tablePart xmlns:r="http://schemas.openxmlformats.org/officeDocument/2006/relationships" r:id="Rd08ffe7524bb4e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" hidden="0" customWidth="1"/>
    <x:col min="2" max="2" width="16" hidden="0" customWidth="1"/>
    <x:col min="3" max="3" width="25" hidden="0" customWidth="1"/>
    <x:col min="4" max="4" width="16" hidden="0" customWidth="1"/>
    <x:col min="5" max="5" width="14" hidden="0" customWidth="1"/>
    <x:col min="6" max="6" width="70" hidden="0" customWidth="1"/>
  </x:cols>
  <x:sheetData>
    <x:row r="1" ht="34" customHeight="1">
      <x:c r="A1" s="3" t="str">
        <x:v>Manifesto de arquivos</x:v>
      </x:c>
      <x:c r="B1" s="3"/>
      <x:c r="C1" s="3"/>
      <x:c r="D1" s="3"/>
      <x:c r="E1" s="3"/>
      <x:c r="F1" s="3"/>
    </x:row>
    <x:row r="2" ht="32" customHeight="1">
      <x:c r="A2" s="7" t="str">
        <x:v>Contagem e hash SHA-256 permitem comprovar integridade e reprodutibilidade dos dois lotes.</x:v>
      </x:c>
      <x:c r="B2" s="7"/>
      <x:c r="C2" s="7"/>
      <x:c r="D2" s="7"/>
      <x:c r="E2" s="7"/>
      <x:c r="F2" s="7"/>
    </x:row>
    <x:row r="4" ht="26" customHeight="1">
      <x:c r="A4" s="16" t="str">
        <x:v>Arquivo</x:v>
      </x:c>
      <x:c r="B4" s="17" t="str">
        <x:v>Entidade</x:v>
      </x:c>
      <x:c r="C4" s="17" t="str">
        <x:v>Lote</x:v>
      </x:c>
      <x:c r="D4" s="17" t="str">
        <x:v>Data do lote</x:v>
      </x:c>
      <x:c r="E4" s="17" t="str">
        <x:v>Linhas</x:v>
      </x:c>
      <x:c r="F4" s="18" t="str">
        <x:v>SHA-256</x:v>
      </x:c>
    </x:row>
    <x:row r="5">
      <x:c r="A5" s="23" t="str">
        <x:v>customers/batch_date=2026-08-01/customers_batch-20260801-001.csv</x:v>
      </x:c>
      <x:c r="B5" s="23" t="str">
        <x:v>customers</x:v>
      </x:c>
      <x:c r="C5" s="23" t="str">
        <x:v>batch-20260801-001</x:v>
      </x:c>
      <x:c r="D5" s="38" t="str">
        <x:v>2026-08-01</x:v>
      </x:c>
      <x:c r="E5" s="26" t="n">
        <x:v>120</x:v>
      </x:c>
      <x:c r="F5" s="23" t="str">
        <x:v>67441545a7e51d2e0ae9ff1ea77dd030718446cee32c962e53ad0f6ce40cd359</x:v>
      </x:c>
    </x:row>
    <x:row r="6">
      <x:c r="A6" s="24" t="str">
        <x:v>customers/batch_date=2026-09-01/customers_batch-20260901-001.csv</x:v>
      </x:c>
      <x:c r="B6" s="24" t="str">
        <x:v>customers</x:v>
      </x:c>
      <x:c r="C6" s="24" t="str">
        <x:v>batch-20260901-001</x:v>
      </x:c>
      <x:c r="D6" s="39" t="str">
        <x:v>2026-09-01</x:v>
      </x:c>
      <x:c r="E6" s="27" t="n">
        <x:v>3</x:v>
      </x:c>
      <x:c r="F6" s="24" t="str">
        <x:v>04ec647c771f9968a7300105dc52fc11ce18656e4b6453565cb9d9cdff6ff56b</x:v>
      </x:c>
    </x:row>
    <x:row r="7">
      <x:c r="A7" s="24" t="str">
        <x:v>plants/batch_date=2026-08-01/plants_batch-20260801-001.csv</x:v>
      </x:c>
      <x:c r="B7" s="24" t="str">
        <x:v>plants</x:v>
      </x:c>
      <x:c r="C7" s="24" t="str">
        <x:v>batch-20260801-001</x:v>
      </x:c>
      <x:c r="D7" s="39" t="str">
        <x:v>2026-08-01</x:v>
      </x:c>
      <x:c r="E7" s="27" t="n">
        <x:v>8</x:v>
      </x:c>
      <x:c r="F7" s="24" t="str">
        <x:v>3e1bf7ec8afc32b40c99e124f108392322b4ba2b8ba454069322f8ff6b3c6045</x:v>
      </x:c>
    </x:row>
    <x:row r="8">
      <x:c r="A8" s="24" t="str">
        <x:v>plants/batch_date=2026-09-01/plants_batch-20260901-001.csv</x:v>
      </x:c>
      <x:c r="B8" s="24" t="str">
        <x:v>plants</x:v>
      </x:c>
      <x:c r="C8" s="24" t="str">
        <x:v>batch-20260901-001</x:v>
      </x:c>
      <x:c r="D8" s="39" t="str">
        <x:v>2026-09-01</x:v>
      </x:c>
      <x:c r="E8" s="27" t="n">
        <x:v>1</x:v>
      </x:c>
      <x:c r="F8" s="24" t="str">
        <x:v>34437e540b53a94831be9134b9f5e2b9377119c783f96df9d666775d2c5ff057</x:v>
      </x:c>
    </x:row>
    <x:row r="9">
      <x:c r="A9" s="24" t="str">
        <x:v>contracts/batch_date=2026-08-01/contracts_batch-20260801-001.csv</x:v>
      </x:c>
      <x:c r="B9" s="24" t="str">
        <x:v>contracts</x:v>
      </x:c>
      <x:c r="C9" s="24" t="str">
        <x:v>batch-20260801-001</x:v>
      </x:c>
      <x:c r="D9" s="39" t="str">
        <x:v>2026-08-01</x:v>
      </x:c>
      <x:c r="E9" s="27" t="n">
        <x:v>150</x:v>
      </x:c>
      <x:c r="F9" s="24" t="str">
        <x:v>83f1054da93b97df138dda82b64b1ac6efd517b4b1a557b257ea2c59c0d1beaf</x:v>
      </x:c>
    </x:row>
    <x:row r="10">
      <x:c r="A10" s="24" t="str">
        <x:v>contracts/batch_date=2026-09-01/contracts_batch-20260901-001.csv</x:v>
      </x:c>
      <x:c r="B10" s="24" t="str">
        <x:v>contracts</x:v>
      </x:c>
      <x:c r="C10" s="24" t="str">
        <x:v>batch-20260901-001</x:v>
      </x:c>
      <x:c r="D10" s="39" t="str">
        <x:v>2026-09-01</x:v>
      </x:c>
      <x:c r="E10" s="27" t="n">
        <x:v>5</x:v>
      </x:c>
      <x:c r="F10" s="24" t="str">
        <x:v>9ab51c656c12201ac0c80f36713c78bd42548876d3d4528acd7082fac4641d01</x:v>
      </x:c>
    </x:row>
    <x:row r="11">
      <x:c r="A11" s="24" t="str">
        <x:v>invoices/batch_date=2026-08-01/invoices_batch-20260801-001.csv</x:v>
      </x:c>
      <x:c r="B11" s="24" t="str">
        <x:v>invoices</x:v>
      </x:c>
      <x:c r="C11" s="24" t="str">
        <x:v>batch-20260801-001</x:v>
      </x:c>
      <x:c r="D11" s="39" t="str">
        <x:v>2026-08-01</x:v>
      </x:c>
      <x:c r="E11" s="27" t="n">
        <x:v>750</x:v>
      </x:c>
      <x:c r="F11" s="24" t="str">
        <x:v>7e656808fc080b4bc1341492faf4619bf77020cefa3b3ecca436f84aff45e7b0</x:v>
      </x:c>
    </x:row>
    <x:row r="12">
      <x:c r="A12" s="24" t="str">
        <x:v>invoices/batch_date=2026-09-01/invoices_batch-20260901-001.csv</x:v>
      </x:c>
      <x:c r="B12" s="24" t="str">
        <x:v>invoices</x:v>
      </x:c>
      <x:c r="C12" s="24" t="str">
        <x:v>batch-20260901-001</x:v>
      </x:c>
      <x:c r="D12" s="39" t="str">
        <x:v>2026-09-01</x:v>
      </x:c>
      <x:c r="E12" s="27" t="n">
        <x:v>150</x:v>
      </x:c>
      <x:c r="F12" s="24" t="str">
        <x:v>37474352980607dc5a12ef10a1d472f8018743ada9d46b351a51495119df32b0</x:v>
      </x:c>
    </x:row>
    <x:row r="13">
      <x:c r="A13" s="24" t="str">
        <x:v>generation/batch_date=2026-08-01/generation_batch-20260801-001.csv</x:v>
      </x:c>
      <x:c r="B13" s="24" t="str">
        <x:v>generation</x:v>
      </x:c>
      <x:c r="C13" s="24" t="str">
        <x:v>batch-20260801-001</x:v>
      </x:c>
      <x:c r="D13" s="39" t="str">
        <x:v>2026-08-01</x:v>
      </x:c>
      <x:c r="E13" s="27" t="n">
        <x:v>1223</x:v>
      </x:c>
      <x:c r="F13" s="24" t="str">
        <x:v>2e29abc6133c5e521b8d0e813a626c66ff016d11476e26211b558eccbaf533da</x:v>
      </x:c>
    </x:row>
    <x:row r="14">
      <x:c r="A14" s="25" t="str">
        <x:v>generation/batch_date=2026-09-01/generation_batch-20260901-001.csv</x:v>
      </x:c>
      <x:c r="B14" s="25" t="str">
        <x:v>generation</x:v>
      </x:c>
      <x:c r="C14" s="25" t="str">
        <x:v>batch-20260901-001</x:v>
      </x:c>
      <x:c r="D14" s="40" t="str">
        <x:v>2026-09-01</x:v>
      </x:c>
      <x:c r="E14" s="28" t="n">
        <x:v>250</x:v>
      </x:c>
      <x:c r="F14" s="25" t="str">
        <x:v>87dc9fba522e75eab72532d69a85b1fefd9de8cb38d51a7bb8c1b1f223923519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6f5f96b1ff14790"/>
  </x:tableParts>
</x:worksheet>
</file>